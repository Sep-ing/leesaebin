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020529-7C71-4435-BCA9-50870A1C9F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수식" sheetId="5" r:id="rId1"/>
    <sheet name="참조" sheetId="6" r:id="rId2"/>
    <sheet name="이름정의" sheetId="7" r:id="rId3"/>
  </sheets>
  <definedNames>
    <definedName name="환율">이름정의!$H$3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7" l="1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G11" i="6"/>
  <c r="G12" i="6"/>
  <c r="G13" i="6"/>
  <c r="G14" i="6"/>
  <c r="G15" i="6"/>
  <c r="G16" i="6"/>
  <c r="G17" i="6"/>
  <c r="G18" i="6"/>
  <c r="G19" i="6"/>
  <c r="G20" i="6"/>
  <c r="G21" i="6"/>
  <c r="G5" i="6"/>
  <c r="G6" i="6"/>
  <c r="G7" i="6"/>
  <c r="G8" i="6"/>
  <c r="G9" i="6"/>
  <c r="G10" i="6"/>
  <c r="G4" i="6"/>
  <c r="H4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4" i="6"/>
  <c r="K6" i="5"/>
  <c r="K5" i="5"/>
  <c r="K4" i="5"/>
  <c r="K3" i="5"/>
  <c r="G4" i="5"/>
  <c r="K2" i="5"/>
  <c r="H20" i="5"/>
  <c r="H21" i="5"/>
  <c r="H7" i="5"/>
  <c r="H10" i="5"/>
  <c r="H11" i="5"/>
  <c r="H12" i="5"/>
  <c r="H13" i="5"/>
  <c r="H14" i="5"/>
  <c r="H15" i="5"/>
  <c r="H16" i="5"/>
  <c r="H19" i="5"/>
  <c r="H4" i="5"/>
  <c r="G10" i="5"/>
  <c r="G8" i="5"/>
  <c r="G7" i="5"/>
  <c r="G9" i="5"/>
  <c r="G11" i="5"/>
  <c r="G14" i="5"/>
  <c r="G18" i="5"/>
  <c r="G19" i="5"/>
  <c r="G20" i="5"/>
  <c r="G21" i="5"/>
  <c r="F5" i="5"/>
  <c r="H5" i="5" s="1"/>
  <c r="F6" i="5"/>
  <c r="H6" i="5" s="1"/>
  <c r="F7" i="5"/>
  <c r="F8" i="5"/>
  <c r="H8" i="5" s="1"/>
  <c r="F9" i="5"/>
  <c r="H9" i="5" s="1"/>
  <c r="F10" i="5"/>
  <c r="F11" i="5"/>
  <c r="F12" i="5"/>
  <c r="G12" i="5" s="1"/>
  <c r="F13" i="5"/>
  <c r="G13" i="5" s="1"/>
  <c r="F14" i="5"/>
  <c r="F15" i="5"/>
  <c r="G15" i="5" s="1"/>
  <c r="F16" i="5"/>
  <c r="G16" i="5" s="1"/>
  <c r="F17" i="5"/>
  <c r="H17" i="5" s="1"/>
  <c r="F18" i="5"/>
  <c r="H18" i="5" s="1"/>
  <c r="F19" i="5"/>
  <c r="F20" i="5"/>
  <c r="F21" i="5"/>
  <c r="G6" i="5" l="1"/>
  <c r="G5" i="5"/>
  <c r="G17" i="5"/>
</calcChain>
</file>

<file path=xl/sharedStrings.xml><?xml version="1.0" encoding="utf-8"?>
<sst xmlns="http://schemas.openxmlformats.org/spreadsheetml/2006/main" count="104" uniqueCount="64">
  <si>
    <t>상품코드</t>
    <phoneticPr fontId="1" type="noConversion"/>
  </si>
  <si>
    <t>상품명</t>
    <phoneticPr fontId="1" type="noConversion"/>
  </si>
  <si>
    <t>상반기</t>
    <phoneticPr fontId="1" type="noConversion"/>
  </si>
  <si>
    <t>하반기</t>
    <phoneticPr fontId="1" type="noConversion"/>
  </si>
  <si>
    <t>평균</t>
    <phoneticPr fontId="1" type="noConversion"/>
  </si>
  <si>
    <t>합계</t>
    <phoneticPr fontId="1" type="noConversion"/>
  </si>
  <si>
    <t>D-60</t>
  </si>
  <si>
    <t>슬림패드</t>
  </si>
  <si>
    <t>D-68</t>
  </si>
  <si>
    <t>서류보관패드</t>
  </si>
  <si>
    <t>T-45</t>
  </si>
  <si>
    <t>서류정리함</t>
  </si>
  <si>
    <t>D-65</t>
  </si>
  <si>
    <t>데스크패드</t>
  </si>
  <si>
    <t>T-40</t>
  </si>
  <si>
    <t>다기능 트레이</t>
  </si>
  <si>
    <t>T-20</t>
  </si>
  <si>
    <t>다용도함</t>
  </si>
  <si>
    <t>S-30</t>
    <phoneticPr fontId="1" type="noConversion"/>
  </si>
  <si>
    <t>S-40</t>
    <phoneticPr fontId="1" type="noConversion"/>
  </si>
  <si>
    <t>T-50</t>
    <phoneticPr fontId="1" type="noConversion"/>
  </si>
  <si>
    <t>3단서류정리함</t>
    <phoneticPr fontId="1" type="noConversion"/>
  </si>
  <si>
    <t>D-50</t>
    <phoneticPr fontId="1" type="noConversion"/>
  </si>
  <si>
    <t>양방향패드</t>
    <phoneticPr fontId="1" type="noConversion"/>
  </si>
  <si>
    <t>D-30</t>
    <phoneticPr fontId="1" type="noConversion"/>
  </si>
  <si>
    <t>가죽패드</t>
    <phoneticPr fontId="1" type="noConversion"/>
  </si>
  <si>
    <t>S-20</t>
    <phoneticPr fontId="1" type="noConversion"/>
  </si>
  <si>
    <t>원형펜홀더</t>
    <phoneticPr fontId="1" type="noConversion"/>
  </si>
  <si>
    <t>펜홀더</t>
    <phoneticPr fontId="1" type="noConversion"/>
  </si>
  <si>
    <t>S-60</t>
    <phoneticPr fontId="1" type="noConversion"/>
  </si>
  <si>
    <t>S-25</t>
    <phoneticPr fontId="1" type="noConversion"/>
  </si>
  <si>
    <t>슬림홀더</t>
    <phoneticPr fontId="1" type="noConversion"/>
  </si>
  <si>
    <t>스타일홀더</t>
    <phoneticPr fontId="1" type="noConversion"/>
  </si>
  <si>
    <t>3단펜홀더</t>
    <phoneticPr fontId="1" type="noConversion"/>
  </si>
  <si>
    <t>S-65</t>
    <phoneticPr fontId="1" type="noConversion"/>
  </si>
  <si>
    <t>메모홀더</t>
    <phoneticPr fontId="1" type="noConversion"/>
  </si>
  <si>
    <t>S-70</t>
    <phoneticPr fontId="1" type="noConversion"/>
  </si>
  <si>
    <t>핸드폰홀더</t>
    <phoneticPr fontId="1" type="noConversion"/>
  </si>
  <si>
    <t>T-55</t>
    <phoneticPr fontId="1" type="noConversion"/>
  </si>
  <si>
    <t>1단서류정리함</t>
    <phoneticPr fontId="1" type="noConversion"/>
  </si>
  <si>
    <t>T-60</t>
    <phoneticPr fontId="1" type="noConversion"/>
  </si>
  <si>
    <t>프리미엄서랍</t>
    <phoneticPr fontId="1" type="noConversion"/>
  </si>
  <si>
    <t>평균 판매량</t>
    <phoneticPr fontId="1" type="noConversion"/>
  </si>
  <si>
    <t>상품 개수</t>
    <phoneticPr fontId="1" type="noConversion"/>
  </si>
  <si>
    <t>최고 판매량</t>
    <phoneticPr fontId="1" type="noConversion"/>
  </si>
  <si>
    <t>최저 판매량</t>
    <phoneticPr fontId="1" type="noConversion"/>
  </si>
  <si>
    <t>총 판매량</t>
    <phoneticPr fontId="1" type="noConversion"/>
  </si>
  <si>
    <t>목표량</t>
    <phoneticPr fontId="1" type="noConversion"/>
  </si>
  <si>
    <t>분기별 판매량</t>
    <phoneticPr fontId="1" type="noConversion"/>
  </si>
  <si>
    <t>재고</t>
    <phoneticPr fontId="1" type="noConversion"/>
  </si>
  <si>
    <t>반품</t>
    <phoneticPr fontId="1" type="noConversion"/>
  </si>
  <si>
    <t>정가</t>
    <phoneticPr fontId="1" type="noConversion"/>
  </si>
  <si>
    <t>환율(원/달러)</t>
    <phoneticPr fontId="1" type="noConversion"/>
  </si>
  <si>
    <t>달러</t>
    <phoneticPr fontId="1" type="noConversion"/>
  </si>
  <si>
    <t>원</t>
    <phoneticPr fontId="1" type="noConversion"/>
  </si>
  <si>
    <t>목표달성</t>
    <phoneticPr fontId="1" type="noConversion"/>
  </si>
  <si>
    <t>총 재고</t>
    <phoneticPr fontId="1" type="noConversion"/>
  </si>
  <si>
    <t>상품 가격표</t>
    <phoneticPr fontId="1" type="noConversion"/>
  </si>
  <si>
    <t>상품 판매 실적</t>
    <phoneticPr fontId="1" type="noConversion"/>
  </si>
  <si>
    <t>배송비</t>
    <phoneticPr fontId="1" type="noConversion"/>
  </si>
  <si>
    <t>판매가</t>
    <phoneticPr fontId="1" type="noConversion"/>
  </si>
  <si>
    <t>판매가
(달러)</t>
    <phoneticPr fontId="1" type="noConversion"/>
  </si>
  <si>
    <t>할인 판매가</t>
    <phoneticPr fontId="1" type="noConversion"/>
  </si>
  <si>
    <t>상품 재고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</si>
</sst>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.0"/>
    <numFmt numFmtId="177" formatCode="_-* #,##0.0_-;\-* #,##0.0_-;_-* &quot;-&quot;?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1" fontId="4" fillId="0" borderId="1" xfId="1" applyFont="1" applyBorder="1">
      <alignment vertical="center"/>
    </xf>
    <xf numFmtId="41" fontId="4" fillId="0" borderId="1" xfId="1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43" fontId="4" fillId="0" borderId="1" xfId="0" applyNumberFormat="1" applyFont="1" applyBorder="1">
      <alignment vertical="center"/>
    </xf>
    <xf numFmtId="2" fontId="4" fillId="0" borderId="1" xfId="1" applyNumberFormat="1" applyFont="1" applyBorder="1">
      <alignment vertical="center"/>
    </xf>
    <xf numFmtId="177" fontId="4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4E69-94D1-408D-85D8-417980F63028}">
  <sheetPr>
    <tabColor rgb="FF0070C0"/>
  </sheetPr>
  <dimension ref="A1:K21"/>
  <sheetViews>
    <sheetView workbookViewId="0">
      <selection activeCell="K7" sqref="K7"/>
    </sheetView>
  </sheetViews>
  <sheetFormatPr defaultColWidth="9" defaultRowHeight="15" x14ac:dyDescent="0.4"/>
  <cols>
    <col min="1" max="1" width="9.59765625" style="3" customWidth="1"/>
    <col min="2" max="2" width="14.09765625" style="3" bestFit="1" customWidth="1"/>
    <col min="3" max="8" width="9.59765625" style="3" customWidth="1"/>
    <col min="9" max="9" width="1.69921875" style="3" customWidth="1"/>
    <col min="10" max="10" width="12.69921875" style="3" bestFit="1" customWidth="1"/>
    <col min="11" max="11" width="9.69921875" style="3" customWidth="1"/>
    <col min="12" max="16384" width="9" style="3"/>
  </cols>
  <sheetData>
    <row r="1" spans="1:11" ht="24.75" customHeight="1" x14ac:dyDescent="0.4">
      <c r="A1" s="1" t="s">
        <v>58</v>
      </c>
      <c r="B1" s="2"/>
      <c r="C1" s="2"/>
      <c r="D1" s="2"/>
      <c r="E1" s="2"/>
      <c r="F1" s="2"/>
      <c r="G1" s="2"/>
      <c r="H1" s="2"/>
    </row>
    <row r="2" spans="1:11" ht="20.100000000000001" customHeight="1" x14ac:dyDescent="0.4">
      <c r="A2" s="17" t="s">
        <v>0</v>
      </c>
      <c r="B2" s="16" t="s">
        <v>1</v>
      </c>
      <c r="C2" s="16" t="s">
        <v>47</v>
      </c>
      <c r="D2" s="16" t="s">
        <v>48</v>
      </c>
      <c r="E2" s="16"/>
      <c r="F2" s="16" t="s">
        <v>5</v>
      </c>
      <c r="G2" s="16" t="s">
        <v>4</v>
      </c>
      <c r="H2" s="15" t="s">
        <v>55</v>
      </c>
      <c r="J2" s="8" t="s">
        <v>46</v>
      </c>
      <c r="K2" s="4">
        <f>SUM(F4:F21)</f>
        <v>1318</v>
      </c>
    </row>
    <row r="3" spans="1:11" ht="20.100000000000001" customHeight="1" x14ac:dyDescent="0.4">
      <c r="A3" s="17"/>
      <c r="B3" s="16"/>
      <c r="C3" s="16"/>
      <c r="D3" s="8" t="s">
        <v>2</v>
      </c>
      <c r="E3" s="8" t="s">
        <v>3</v>
      </c>
      <c r="F3" s="16"/>
      <c r="G3" s="16"/>
      <c r="H3" s="16"/>
      <c r="J3" s="8" t="s">
        <v>42</v>
      </c>
      <c r="K3" s="5">
        <f>AVERAGE(F4:F21)</f>
        <v>73.222222222222229</v>
      </c>
    </row>
    <row r="4" spans="1:11" ht="20.100000000000001" customHeight="1" x14ac:dyDescent="0.4">
      <c r="A4" s="6" t="s">
        <v>24</v>
      </c>
      <c r="B4" s="7" t="s">
        <v>25</v>
      </c>
      <c r="C4" s="4">
        <v>50</v>
      </c>
      <c r="D4" s="4">
        <v>23</v>
      </c>
      <c r="E4" s="4">
        <v>25</v>
      </c>
      <c r="F4" s="4">
        <v>48</v>
      </c>
      <c r="G4" s="4">
        <f>F4/2</f>
        <v>24</v>
      </c>
      <c r="H4" s="4" t="b">
        <f>F4&gt;=C4</f>
        <v>0</v>
      </c>
      <c r="J4" s="8" t="s">
        <v>43</v>
      </c>
      <c r="K4" s="4">
        <f>COUNT(F4:F21)</f>
        <v>18</v>
      </c>
    </row>
    <row r="5" spans="1:11" ht="20.100000000000001" customHeight="1" x14ac:dyDescent="0.4">
      <c r="A5" s="6" t="s">
        <v>22</v>
      </c>
      <c r="B5" s="7" t="s">
        <v>23</v>
      </c>
      <c r="C5" s="4">
        <v>60</v>
      </c>
      <c r="D5" s="4">
        <v>17</v>
      </c>
      <c r="E5" s="4">
        <v>22</v>
      </c>
      <c r="F5" s="4">
        <f t="shared" ref="F5:F21" si="0">D5+E5</f>
        <v>39</v>
      </c>
      <c r="G5" s="4">
        <f>F5/2</f>
        <v>19.5</v>
      </c>
      <c r="H5" s="4" t="b">
        <f>F5&gt;=C5</f>
        <v>0</v>
      </c>
      <c r="J5" s="8" t="s">
        <v>44</v>
      </c>
      <c r="K5" s="4">
        <f>MAX(F4:F21)</f>
        <v>166</v>
      </c>
    </row>
    <row r="6" spans="1:11" ht="20.100000000000001" customHeight="1" x14ac:dyDescent="0.4">
      <c r="A6" s="6" t="s">
        <v>6</v>
      </c>
      <c r="B6" s="7" t="s">
        <v>7</v>
      </c>
      <c r="C6" s="4">
        <v>125</v>
      </c>
      <c r="D6" s="4">
        <v>54</v>
      </c>
      <c r="E6" s="4">
        <v>48</v>
      </c>
      <c r="F6" s="4">
        <f t="shared" si="0"/>
        <v>102</v>
      </c>
      <c r="G6" s="4">
        <f>F6/2</f>
        <v>51</v>
      </c>
      <c r="H6" s="4" t="b">
        <f>F6&gt;=C6</f>
        <v>0</v>
      </c>
      <c r="J6" s="8" t="s">
        <v>45</v>
      </c>
      <c r="K6" s="4">
        <f>MIN(F4:F21)</f>
        <v>20</v>
      </c>
    </row>
    <row r="7" spans="1:11" ht="20.100000000000001" customHeight="1" x14ac:dyDescent="0.4">
      <c r="A7" s="6" t="s">
        <v>12</v>
      </c>
      <c r="B7" s="7" t="s">
        <v>13</v>
      </c>
      <c r="C7" s="4">
        <v>65</v>
      </c>
      <c r="D7" s="4">
        <v>35</v>
      </c>
      <c r="E7" s="4">
        <v>38</v>
      </c>
      <c r="F7" s="4">
        <f t="shared" si="0"/>
        <v>73</v>
      </c>
      <c r="G7" s="4">
        <f>F7/2</f>
        <v>36.5</v>
      </c>
      <c r="H7" s="4" t="b">
        <f>F7&gt;=C7</f>
        <v>1</v>
      </c>
    </row>
    <row r="8" spans="1:11" ht="20.100000000000001" customHeight="1" x14ac:dyDescent="0.4">
      <c r="A8" s="6" t="s">
        <v>8</v>
      </c>
      <c r="B8" s="7" t="s">
        <v>9</v>
      </c>
      <c r="C8" s="4">
        <v>40</v>
      </c>
      <c r="D8" s="4">
        <v>13</v>
      </c>
      <c r="E8" s="4">
        <v>19</v>
      </c>
      <c r="F8" s="4">
        <f t="shared" si="0"/>
        <v>32</v>
      </c>
      <c r="G8" s="4">
        <f>F8/2</f>
        <v>16</v>
      </c>
      <c r="H8" s="4" t="b">
        <f>F8&gt;=C8</f>
        <v>0</v>
      </c>
    </row>
    <row r="9" spans="1:11" ht="20.100000000000001" customHeight="1" x14ac:dyDescent="0.4">
      <c r="A9" s="6" t="s">
        <v>26</v>
      </c>
      <c r="B9" s="7" t="s">
        <v>27</v>
      </c>
      <c r="C9" s="4">
        <v>20</v>
      </c>
      <c r="D9" s="4">
        <v>11</v>
      </c>
      <c r="E9" s="4">
        <v>9</v>
      </c>
      <c r="F9" s="4">
        <f t="shared" si="0"/>
        <v>20</v>
      </c>
      <c r="G9" s="4">
        <f t="shared" ref="G9:G12" si="1">F9/2</f>
        <v>10</v>
      </c>
      <c r="H9" s="4" t="b">
        <f>F9&gt;=C9</f>
        <v>1</v>
      </c>
    </row>
    <row r="10" spans="1:11" ht="20.100000000000001" customHeight="1" x14ac:dyDescent="0.4">
      <c r="A10" s="6" t="s">
        <v>30</v>
      </c>
      <c r="B10" s="7" t="s">
        <v>28</v>
      </c>
      <c r="C10" s="4">
        <v>50</v>
      </c>
      <c r="D10" s="4">
        <v>26</v>
      </c>
      <c r="E10" s="4">
        <v>30</v>
      </c>
      <c r="F10" s="4">
        <f t="shared" si="0"/>
        <v>56</v>
      </c>
      <c r="G10" s="4">
        <f>F10/2</f>
        <v>28</v>
      </c>
      <c r="H10" s="4" t="b">
        <f>F10&gt;=C10</f>
        <v>1</v>
      </c>
    </row>
    <row r="11" spans="1:11" ht="20.100000000000001" customHeight="1" x14ac:dyDescent="0.4">
      <c r="A11" s="6" t="s">
        <v>18</v>
      </c>
      <c r="B11" s="7" t="s">
        <v>31</v>
      </c>
      <c r="C11" s="4">
        <v>50</v>
      </c>
      <c r="D11" s="4">
        <v>16</v>
      </c>
      <c r="E11" s="4">
        <v>12</v>
      </c>
      <c r="F11" s="4">
        <f t="shared" si="0"/>
        <v>28</v>
      </c>
      <c r="G11" s="4">
        <f t="shared" si="1"/>
        <v>14</v>
      </c>
      <c r="H11" s="4" t="b">
        <f>F11&gt;=C11</f>
        <v>0</v>
      </c>
    </row>
    <row r="12" spans="1:11" ht="20.100000000000001" customHeight="1" x14ac:dyDescent="0.4">
      <c r="A12" s="6" t="s">
        <v>19</v>
      </c>
      <c r="B12" s="7" t="s">
        <v>32</v>
      </c>
      <c r="C12" s="4">
        <v>30</v>
      </c>
      <c r="D12" s="4">
        <v>15</v>
      </c>
      <c r="E12" s="4">
        <v>15</v>
      </c>
      <c r="F12" s="4">
        <f t="shared" si="0"/>
        <v>30</v>
      </c>
      <c r="G12" s="4">
        <f t="shared" si="1"/>
        <v>15</v>
      </c>
      <c r="H12" s="4" t="b">
        <f>F12&gt;=C12</f>
        <v>1</v>
      </c>
    </row>
    <row r="13" spans="1:11" ht="20.100000000000001" customHeight="1" x14ac:dyDescent="0.4">
      <c r="A13" s="6" t="s">
        <v>29</v>
      </c>
      <c r="B13" s="7" t="s">
        <v>33</v>
      </c>
      <c r="C13" s="4">
        <v>200</v>
      </c>
      <c r="D13" s="4">
        <v>81</v>
      </c>
      <c r="E13" s="4">
        <v>85</v>
      </c>
      <c r="F13" s="4">
        <f t="shared" si="0"/>
        <v>166</v>
      </c>
      <c r="G13" s="4">
        <f t="shared" ref="G13:G21" si="2">F13/2</f>
        <v>83</v>
      </c>
      <c r="H13" s="4" t="b">
        <f>F13&gt;=C13</f>
        <v>0</v>
      </c>
    </row>
    <row r="14" spans="1:11" ht="20.100000000000001" customHeight="1" x14ac:dyDescent="0.4">
      <c r="A14" s="6" t="s">
        <v>34</v>
      </c>
      <c r="B14" s="7" t="s">
        <v>35</v>
      </c>
      <c r="C14" s="4">
        <v>150</v>
      </c>
      <c r="D14" s="4">
        <v>64</v>
      </c>
      <c r="E14" s="4">
        <v>50</v>
      </c>
      <c r="F14" s="4">
        <f t="shared" si="0"/>
        <v>114</v>
      </c>
      <c r="G14" s="4">
        <f t="shared" si="2"/>
        <v>57</v>
      </c>
      <c r="H14" s="4" t="b">
        <f>F14&gt;=C14</f>
        <v>0</v>
      </c>
    </row>
    <row r="15" spans="1:11" ht="20.100000000000001" customHeight="1" x14ac:dyDescent="0.4">
      <c r="A15" s="6" t="s">
        <v>36</v>
      </c>
      <c r="B15" s="7" t="s">
        <v>37</v>
      </c>
      <c r="C15" s="4">
        <v>80</v>
      </c>
      <c r="D15" s="4">
        <v>38</v>
      </c>
      <c r="E15" s="4">
        <v>55</v>
      </c>
      <c r="F15" s="4">
        <f t="shared" si="0"/>
        <v>93</v>
      </c>
      <c r="G15" s="4">
        <f t="shared" si="2"/>
        <v>46.5</v>
      </c>
      <c r="H15" s="4" t="b">
        <f>F15&gt;=C15</f>
        <v>1</v>
      </c>
    </row>
    <row r="16" spans="1:11" ht="20.100000000000001" customHeight="1" x14ac:dyDescent="0.4">
      <c r="A16" s="6" t="s">
        <v>16</v>
      </c>
      <c r="B16" s="7" t="s">
        <v>17</v>
      </c>
      <c r="C16" s="4">
        <v>120</v>
      </c>
      <c r="D16" s="4">
        <v>68</v>
      </c>
      <c r="E16" s="4">
        <v>79</v>
      </c>
      <c r="F16" s="4">
        <f t="shared" si="0"/>
        <v>147</v>
      </c>
      <c r="G16" s="4">
        <f t="shared" si="2"/>
        <v>73.5</v>
      </c>
      <c r="H16" s="4" t="b">
        <f>F16&gt;=C16</f>
        <v>1</v>
      </c>
    </row>
    <row r="17" spans="1:8" ht="20.100000000000001" customHeight="1" x14ac:dyDescent="0.4">
      <c r="A17" s="6" t="s">
        <v>14</v>
      </c>
      <c r="B17" s="7" t="s">
        <v>15</v>
      </c>
      <c r="C17" s="4">
        <v>80</v>
      </c>
      <c r="D17" s="4">
        <v>28</v>
      </c>
      <c r="E17" s="4">
        <v>35</v>
      </c>
      <c r="F17" s="4">
        <f t="shared" si="0"/>
        <v>63</v>
      </c>
      <c r="G17" s="4">
        <f t="shared" si="2"/>
        <v>31.5</v>
      </c>
      <c r="H17" s="4" t="b">
        <f>F17&gt;=C17</f>
        <v>0</v>
      </c>
    </row>
    <row r="18" spans="1:8" ht="20.100000000000001" customHeight="1" x14ac:dyDescent="0.4">
      <c r="A18" s="6" t="s">
        <v>10</v>
      </c>
      <c r="B18" s="7" t="s">
        <v>11</v>
      </c>
      <c r="C18" s="4">
        <v>150</v>
      </c>
      <c r="D18" s="4">
        <v>61</v>
      </c>
      <c r="E18" s="4">
        <v>45</v>
      </c>
      <c r="F18" s="4">
        <f t="shared" si="0"/>
        <v>106</v>
      </c>
      <c r="G18" s="4">
        <f t="shared" si="2"/>
        <v>53</v>
      </c>
      <c r="H18" s="4" t="b">
        <f>F18&gt;=C18</f>
        <v>0</v>
      </c>
    </row>
    <row r="19" spans="1:8" ht="20.100000000000001" customHeight="1" x14ac:dyDescent="0.4">
      <c r="A19" s="6" t="s">
        <v>20</v>
      </c>
      <c r="B19" s="7" t="s">
        <v>21</v>
      </c>
      <c r="C19" s="4">
        <v>100</v>
      </c>
      <c r="D19" s="4">
        <v>38</v>
      </c>
      <c r="E19" s="4">
        <v>35</v>
      </c>
      <c r="F19" s="4">
        <f t="shared" si="0"/>
        <v>73</v>
      </c>
      <c r="G19" s="4">
        <f t="shared" si="2"/>
        <v>36.5</v>
      </c>
      <c r="H19" s="4" t="b">
        <f>F19&gt;=C19</f>
        <v>0</v>
      </c>
    </row>
    <row r="20" spans="1:8" ht="20.100000000000001" customHeight="1" x14ac:dyDescent="0.4">
      <c r="A20" s="6" t="s">
        <v>38</v>
      </c>
      <c r="B20" s="7" t="s">
        <v>39</v>
      </c>
      <c r="C20" s="4">
        <v>100</v>
      </c>
      <c r="D20" s="4">
        <v>52</v>
      </c>
      <c r="E20" s="4">
        <v>55</v>
      </c>
      <c r="F20" s="4">
        <f t="shared" si="0"/>
        <v>107</v>
      </c>
      <c r="G20" s="4">
        <f t="shared" si="2"/>
        <v>53.5</v>
      </c>
      <c r="H20" s="4" t="b">
        <f t="shared" ref="H20:H21" si="3">F20&gt;=C20</f>
        <v>1</v>
      </c>
    </row>
    <row r="21" spans="1:8" ht="20.100000000000001" customHeight="1" x14ac:dyDescent="0.4">
      <c r="A21" s="6" t="s">
        <v>40</v>
      </c>
      <c r="B21" s="7" t="s">
        <v>41</v>
      </c>
      <c r="C21" s="4">
        <v>20</v>
      </c>
      <c r="D21" s="4">
        <v>10</v>
      </c>
      <c r="E21" s="4">
        <v>11</v>
      </c>
      <c r="F21" s="4">
        <f t="shared" si="0"/>
        <v>21</v>
      </c>
      <c r="G21" s="4">
        <f t="shared" si="2"/>
        <v>10.5</v>
      </c>
      <c r="H21" s="4" t="b">
        <f t="shared" si="3"/>
        <v>1</v>
      </c>
    </row>
  </sheetData>
  <mergeCells count="7">
    <mergeCell ref="H2:H3"/>
    <mergeCell ref="A2:A3"/>
    <mergeCell ref="B2:B3"/>
    <mergeCell ref="C2:C3"/>
    <mergeCell ref="D2:E2"/>
    <mergeCell ref="F2:F3"/>
    <mergeCell ref="G2:G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1FFD-AFD4-43C3-9038-8D5B72FF6D7B}">
  <sheetPr>
    <tabColor theme="7"/>
  </sheetPr>
  <dimension ref="A1:J24"/>
  <sheetViews>
    <sheetView topLeftCell="A7" workbookViewId="0">
      <selection activeCell="G25" sqref="G25"/>
    </sheetView>
  </sheetViews>
  <sheetFormatPr defaultColWidth="9" defaultRowHeight="15" x14ac:dyDescent="0.4"/>
  <cols>
    <col min="1" max="5" width="11.19921875" style="3" customWidth="1"/>
    <col min="6" max="8" width="10.59765625" style="3" customWidth="1"/>
    <col min="9" max="9" width="2.5" style="3" customWidth="1"/>
    <col min="10" max="10" width="14.8984375" style="3" bestFit="1" customWidth="1"/>
    <col min="11" max="11" width="6.59765625" style="3" customWidth="1"/>
    <col min="12" max="16384" width="9" style="3"/>
  </cols>
  <sheetData>
    <row r="1" spans="1:10" ht="24.75" customHeight="1" x14ac:dyDescent="0.4">
      <c r="A1" s="18" t="s">
        <v>57</v>
      </c>
      <c r="B1" s="18"/>
      <c r="C1" s="18"/>
      <c r="D1" s="18"/>
      <c r="E1" s="18"/>
      <c r="F1" s="18"/>
      <c r="G1" s="18"/>
      <c r="H1" s="18"/>
    </row>
    <row r="2" spans="1:10" ht="20.100000000000001" customHeight="1" x14ac:dyDescent="0.4">
      <c r="A2" s="19" t="s">
        <v>0</v>
      </c>
      <c r="B2" s="20" t="s">
        <v>51</v>
      </c>
      <c r="C2" s="20" t="s">
        <v>59</v>
      </c>
      <c r="D2" s="22" t="s">
        <v>60</v>
      </c>
      <c r="E2" s="15" t="s">
        <v>61</v>
      </c>
      <c r="F2" s="16" t="s">
        <v>62</v>
      </c>
      <c r="G2" s="16"/>
      <c r="H2" s="16"/>
      <c r="J2" s="8" t="s">
        <v>52</v>
      </c>
    </row>
    <row r="3" spans="1:10" ht="20.100000000000001" customHeight="1" x14ac:dyDescent="0.4">
      <c r="A3" s="19"/>
      <c r="B3" s="21"/>
      <c r="C3" s="21"/>
      <c r="D3" s="23"/>
      <c r="E3" s="16"/>
      <c r="F3" s="11">
        <v>0.1</v>
      </c>
      <c r="G3" s="11">
        <v>0.2</v>
      </c>
      <c r="H3" s="11">
        <v>0.3</v>
      </c>
      <c r="J3" s="9">
        <v>1385</v>
      </c>
    </row>
    <row r="4" spans="1:10" ht="20.100000000000001" customHeight="1" x14ac:dyDescent="0.4">
      <c r="A4" s="6" t="s">
        <v>24</v>
      </c>
      <c r="B4" s="9">
        <v>32000</v>
      </c>
      <c r="C4" s="10">
        <v>3000</v>
      </c>
      <c r="D4" s="9">
        <f>B4+C4</f>
        <v>35000</v>
      </c>
      <c r="E4" s="13">
        <f>D4/$J$3</f>
        <v>25.270758122743683</v>
      </c>
      <c r="F4" s="9">
        <f>$D4*(1-F$3)</f>
        <v>31500</v>
      </c>
      <c r="G4" s="9">
        <f>$D4*(1-G$3)</f>
        <v>28000</v>
      </c>
      <c r="H4" s="9">
        <f t="shared" ref="G4:H19" si="0">$D4*(1-H$3)</f>
        <v>24500</v>
      </c>
    </row>
    <row r="5" spans="1:10" ht="20.100000000000001" customHeight="1" x14ac:dyDescent="0.4">
      <c r="A5" s="6" t="s">
        <v>22</v>
      </c>
      <c r="B5" s="9">
        <v>42000</v>
      </c>
      <c r="C5" s="10">
        <v>0</v>
      </c>
      <c r="D5" s="9">
        <f t="shared" ref="D5:D21" si="1">B5+C5</f>
        <v>42000</v>
      </c>
      <c r="E5" s="13">
        <f t="shared" ref="E5:E21" si="2">D5/$J$3</f>
        <v>30.32490974729242</v>
      </c>
      <c r="F5" s="9">
        <f t="shared" ref="F5:F22" si="3">D5*(1-F$3)</f>
        <v>37800</v>
      </c>
      <c r="G5" s="9">
        <f t="shared" ref="G5:H21" si="4">$D5*(1-G$3)</f>
        <v>33600</v>
      </c>
      <c r="H5" s="9">
        <f t="shared" si="0"/>
        <v>29399.999999999996</v>
      </c>
    </row>
    <row r="6" spans="1:10" ht="20.100000000000001" customHeight="1" x14ac:dyDescent="0.4">
      <c r="A6" s="6" t="s">
        <v>6</v>
      </c>
      <c r="B6" s="9">
        <v>28000</v>
      </c>
      <c r="C6" s="10">
        <v>3000</v>
      </c>
      <c r="D6" s="9">
        <f t="shared" si="1"/>
        <v>31000</v>
      </c>
      <c r="E6" s="13">
        <f t="shared" si="2"/>
        <v>22.382671480144403</v>
      </c>
      <c r="F6" s="9">
        <f t="shared" si="3"/>
        <v>27900</v>
      </c>
      <c r="G6" s="9">
        <f t="shared" si="4"/>
        <v>24800</v>
      </c>
      <c r="H6" s="9">
        <f t="shared" si="0"/>
        <v>21700</v>
      </c>
    </row>
    <row r="7" spans="1:10" ht="20.100000000000001" customHeight="1" x14ac:dyDescent="0.4">
      <c r="A7" s="6" t="s">
        <v>12</v>
      </c>
      <c r="B7" s="9">
        <v>21000</v>
      </c>
      <c r="C7" s="10">
        <v>3000</v>
      </c>
      <c r="D7" s="9">
        <f t="shared" si="1"/>
        <v>24000</v>
      </c>
      <c r="E7" s="13">
        <f t="shared" si="2"/>
        <v>17.328519855595669</v>
      </c>
      <c r="F7" s="9">
        <f t="shared" si="3"/>
        <v>21600</v>
      </c>
      <c r="G7" s="9">
        <f t="shared" si="4"/>
        <v>19200</v>
      </c>
      <c r="H7" s="9">
        <f t="shared" si="0"/>
        <v>16800</v>
      </c>
    </row>
    <row r="8" spans="1:10" ht="20.100000000000001" customHeight="1" x14ac:dyDescent="0.4">
      <c r="A8" s="6" t="s">
        <v>8</v>
      </c>
      <c r="B8" s="9">
        <v>35000</v>
      </c>
      <c r="C8" s="10">
        <v>3000</v>
      </c>
      <c r="D8" s="9">
        <f t="shared" si="1"/>
        <v>38000</v>
      </c>
      <c r="E8" s="13">
        <f t="shared" si="2"/>
        <v>27.43682310469314</v>
      </c>
      <c r="F8" s="9">
        <f t="shared" si="3"/>
        <v>34200</v>
      </c>
      <c r="G8" s="9">
        <f t="shared" si="4"/>
        <v>30400</v>
      </c>
      <c r="H8" s="9">
        <f t="shared" si="0"/>
        <v>26600</v>
      </c>
    </row>
    <row r="9" spans="1:10" ht="20.100000000000001" customHeight="1" x14ac:dyDescent="0.4">
      <c r="A9" s="6" t="s">
        <v>26</v>
      </c>
      <c r="B9" s="9">
        <v>25000</v>
      </c>
      <c r="C9" s="10">
        <v>3000</v>
      </c>
      <c r="D9" s="9">
        <f t="shared" si="1"/>
        <v>28000</v>
      </c>
      <c r="E9" s="13">
        <f t="shared" si="2"/>
        <v>20.216606498194945</v>
      </c>
      <c r="F9" s="9">
        <f t="shared" si="3"/>
        <v>25200</v>
      </c>
      <c r="G9" s="9">
        <f t="shared" si="4"/>
        <v>22400</v>
      </c>
      <c r="H9" s="9">
        <f t="shared" si="0"/>
        <v>19600</v>
      </c>
    </row>
    <row r="10" spans="1:10" ht="20.100000000000001" customHeight="1" x14ac:dyDescent="0.4">
      <c r="A10" s="6" t="s">
        <v>30</v>
      </c>
      <c r="B10" s="9">
        <v>29000</v>
      </c>
      <c r="C10" s="10">
        <v>3000</v>
      </c>
      <c r="D10" s="9">
        <f t="shared" si="1"/>
        <v>32000</v>
      </c>
      <c r="E10" s="13">
        <f t="shared" si="2"/>
        <v>23.104693140794225</v>
      </c>
      <c r="F10" s="9">
        <f t="shared" si="3"/>
        <v>28800</v>
      </c>
      <c r="G10" s="9">
        <f t="shared" si="4"/>
        <v>25600</v>
      </c>
      <c r="H10" s="9">
        <f t="shared" si="0"/>
        <v>22400</v>
      </c>
    </row>
    <row r="11" spans="1:10" ht="20.100000000000001" customHeight="1" x14ac:dyDescent="0.4">
      <c r="A11" s="6" t="s">
        <v>18</v>
      </c>
      <c r="B11" s="9">
        <v>23000</v>
      </c>
      <c r="C11" s="10">
        <v>3000</v>
      </c>
      <c r="D11" s="9">
        <f t="shared" si="1"/>
        <v>26000</v>
      </c>
      <c r="E11" s="13">
        <f t="shared" si="2"/>
        <v>18.772563176895307</v>
      </c>
      <c r="F11" s="9">
        <f t="shared" si="3"/>
        <v>23400</v>
      </c>
      <c r="G11" s="9">
        <f t="shared" si="4"/>
        <v>20800</v>
      </c>
      <c r="H11" s="9">
        <f t="shared" si="0"/>
        <v>18200</v>
      </c>
    </row>
    <row r="12" spans="1:10" ht="20.100000000000001" customHeight="1" x14ac:dyDescent="0.4">
      <c r="A12" s="6" t="s">
        <v>19</v>
      </c>
      <c r="B12" s="9">
        <v>31000</v>
      </c>
      <c r="C12" s="10">
        <v>3000</v>
      </c>
      <c r="D12" s="9">
        <f t="shared" si="1"/>
        <v>34000</v>
      </c>
      <c r="E12" s="13">
        <f t="shared" si="2"/>
        <v>24.548736462093864</v>
      </c>
      <c r="F12" s="9">
        <f t="shared" si="3"/>
        <v>30600</v>
      </c>
      <c r="G12" s="9">
        <f t="shared" si="4"/>
        <v>27200</v>
      </c>
      <c r="H12" s="9">
        <f t="shared" si="0"/>
        <v>23800</v>
      </c>
    </row>
    <row r="13" spans="1:10" ht="20.100000000000001" customHeight="1" x14ac:dyDescent="0.4">
      <c r="A13" s="6" t="s">
        <v>29</v>
      </c>
      <c r="B13" s="9">
        <v>35000</v>
      </c>
      <c r="C13" s="10">
        <v>3000</v>
      </c>
      <c r="D13" s="9">
        <f t="shared" si="1"/>
        <v>38000</v>
      </c>
      <c r="E13" s="13">
        <f t="shared" si="2"/>
        <v>27.43682310469314</v>
      </c>
      <c r="F13" s="9">
        <f t="shared" si="3"/>
        <v>34200</v>
      </c>
      <c r="G13" s="9">
        <f t="shared" si="4"/>
        <v>30400</v>
      </c>
      <c r="H13" s="9">
        <f t="shared" si="0"/>
        <v>26600</v>
      </c>
    </row>
    <row r="14" spans="1:10" ht="20.100000000000001" customHeight="1" x14ac:dyDescent="0.4">
      <c r="A14" s="6" t="s">
        <v>34</v>
      </c>
      <c r="B14" s="9">
        <v>19000</v>
      </c>
      <c r="C14" s="10">
        <v>3000</v>
      </c>
      <c r="D14" s="9">
        <f t="shared" si="1"/>
        <v>22000</v>
      </c>
      <c r="E14" s="13">
        <f t="shared" si="2"/>
        <v>15.884476534296029</v>
      </c>
      <c r="F14" s="9">
        <f t="shared" si="3"/>
        <v>19800</v>
      </c>
      <c r="G14" s="9">
        <f t="shared" si="4"/>
        <v>17600</v>
      </c>
      <c r="H14" s="9">
        <f t="shared" si="0"/>
        <v>15399.999999999998</v>
      </c>
    </row>
    <row r="15" spans="1:10" ht="20.100000000000001" customHeight="1" x14ac:dyDescent="0.4">
      <c r="A15" s="6" t="s">
        <v>36</v>
      </c>
      <c r="B15" s="9">
        <v>22000</v>
      </c>
      <c r="C15" s="10">
        <v>3000</v>
      </c>
      <c r="D15" s="9">
        <f t="shared" si="1"/>
        <v>25000</v>
      </c>
      <c r="E15" s="13">
        <f t="shared" si="2"/>
        <v>18.050541516245488</v>
      </c>
      <c r="F15" s="9">
        <f t="shared" si="3"/>
        <v>22500</v>
      </c>
      <c r="G15" s="9">
        <f t="shared" si="4"/>
        <v>20000</v>
      </c>
      <c r="H15" s="9">
        <f t="shared" si="0"/>
        <v>17500</v>
      </c>
    </row>
    <row r="16" spans="1:10" ht="20.100000000000001" customHeight="1" x14ac:dyDescent="0.4">
      <c r="A16" s="6" t="s">
        <v>16</v>
      </c>
      <c r="B16" s="9">
        <v>55000</v>
      </c>
      <c r="C16" s="10">
        <v>0</v>
      </c>
      <c r="D16" s="9">
        <f t="shared" si="1"/>
        <v>55000</v>
      </c>
      <c r="E16" s="13">
        <f t="shared" si="2"/>
        <v>39.711191335740075</v>
      </c>
      <c r="F16" s="9">
        <f t="shared" si="3"/>
        <v>49500</v>
      </c>
      <c r="G16" s="9">
        <f t="shared" si="4"/>
        <v>44000</v>
      </c>
      <c r="H16" s="9">
        <f t="shared" si="0"/>
        <v>38500</v>
      </c>
    </row>
    <row r="17" spans="1:8" ht="20.100000000000001" customHeight="1" x14ac:dyDescent="0.4">
      <c r="A17" s="6" t="s">
        <v>14</v>
      </c>
      <c r="B17" s="9">
        <v>65000</v>
      </c>
      <c r="C17" s="10">
        <v>0</v>
      </c>
      <c r="D17" s="9">
        <f t="shared" si="1"/>
        <v>65000</v>
      </c>
      <c r="E17" s="13">
        <f t="shared" si="2"/>
        <v>46.931407942238266</v>
      </c>
      <c r="F17" s="9">
        <f t="shared" si="3"/>
        <v>58500</v>
      </c>
      <c r="G17" s="9">
        <f t="shared" si="4"/>
        <v>52000</v>
      </c>
      <c r="H17" s="9">
        <f t="shared" si="0"/>
        <v>45500</v>
      </c>
    </row>
    <row r="18" spans="1:8" ht="20.100000000000001" customHeight="1" x14ac:dyDescent="0.4">
      <c r="A18" s="6" t="s">
        <v>10</v>
      </c>
      <c r="B18" s="9">
        <v>78000</v>
      </c>
      <c r="C18" s="10">
        <v>0</v>
      </c>
      <c r="D18" s="9">
        <f t="shared" si="1"/>
        <v>78000</v>
      </c>
      <c r="E18" s="13">
        <f t="shared" si="2"/>
        <v>56.317689530685918</v>
      </c>
      <c r="F18" s="9">
        <f t="shared" si="3"/>
        <v>70200</v>
      </c>
      <c r="G18" s="9">
        <f t="shared" si="4"/>
        <v>62400</v>
      </c>
      <c r="H18" s="9">
        <f t="shared" si="0"/>
        <v>54600</v>
      </c>
    </row>
    <row r="19" spans="1:8" ht="20.100000000000001" customHeight="1" x14ac:dyDescent="0.4">
      <c r="A19" s="6" t="s">
        <v>20</v>
      </c>
      <c r="B19" s="9">
        <v>88000</v>
      </c>
      <c r="C19" s="10">
        <v>0</v>
      </c>
      <c r="D19" s="9">
        <f t="shared" si="1"/>
        <v>88000</v>
      </c>
      <c r="E19" s="13">
        <f t="shared" si="2"/>
        <v>63.537906137184116</v>
      </c>
      <c r="F19" s="9">
        <f t="shared" si="3"/>
        <v>79200</v>
      </c>
      <c r="G19" s="9">
        <f t="shared" si="4"/>
        <v>70400</v>
      </c>
      <c r="H19" s="9">
        <f t="shared" si="0"/>
        <v>61599.999999999993</v>
      </c>
    </row>
    <row r="20" spans="1:8" ht="20.100000000000001" customHeight="1" x14ac:dyDescent="0.4">
      <c r="A20" s="6" t="s">
        <v>38</v>
      </c>
      <c r="B20" s="9">
        <v>38000</v>
      </c>
      <c r="C20" s="10">
        <v>3000</v>
      </c>
      <c r="D20" s="9">
        <f t="shared" si="1"/>
        <v>41000</v>
      </c>
      <c r="E20" s="13">
        <f t="shared" si="2"/>
        <v>29.602888086642601</v>
      </c>
      <c r="F20" s="9">
        <f t="shared" si="3"/>
        <v>36900</v>
      </c>
      <c r="G20" s="9">
        <f t="shared" si="4"/>
        <v>32800</v>
      </c>
      <c r="H20" s="9">
        <f t="shared" si="4"/>
        <v>28699.999999999996</v>
      </c>
    </row>
    <row r="21" spans="1:8" ht="20.100000000000001" customHeight="1" x14ac:dyDescent="0.4">
      <c r="A21" s="6" t="s">
        <v>40</v>
      </c>
      <c r="B21" s="9">
        <v>52000</v>
      </c>
      <c r="C21" s="10">
        <v>0</v>
      </c>
      <c r="D21" s="9">
        <f t="shared" si="1"/>
        <v>52000</v>
      </c>
      <c r="E21" s="13">
        <f t="shared" si="2"/>
        <v>37.545126353790614</v>
      </c>
      <c r="F21" s="9">
        <f t="shared" si="3"/>
        <v>46800</v>
      </c>
      <c r="G21" s="9">
        <f t="shared" si="4"/>
        <v>41600</v>
      </c>
      <c r="H21" s="9">
        <f t="shared" si="4"/>
        <v>36400</v>
      </c>
    </row>
    <row r="22" spans="1:8" x14ac:dyDescent="0.4">
      <c r="F22" s="9"/>
    </row>
    <row r="24" spans="1:8" x14ac:dyDescent="0.4">
      <c r="F24" s="14"/>
    </row>
  </sheetData>
  <mergeCells count="7">
    <mergeCell ref="A1:H1"/>
    <mergeCell ref="A2:A3"/>
    <mergeCell ref="B2:B3"/>
    <mergeCell ref="C2:C3"/>
    <mergeCell ref="D2:D3"/>
    <mergeCell ref="E2:E3"/>
    <mergeCell ref="F2:H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E61A-94FC-4F4D-B80C-47A7BA960632}">
  <sheetPr>
    <tabColor rgb="FFEE0000"/>
  </sheetPr>
  <dimension ref="A1:H23"/>
  <sheetViews>
    <sheetView tabSelected="1" topLeftCell="A4" workbookViewId="0">
      <selection activeCell="B4" sqref="B4"/>
    </sheetView>
  </sheetViews>
  <sheetFormatPr defaultColWidth="11.59765625" defaultRowHeight="15" x14ac:dyDescent="0.4"/>
  <cols>
    <col min="1" max="5" width="11.59765625" style="3"/>
    <col min="6" max="6" width="13.5" style="3" customWidth="1"/>
    <col min="7" max="7" width="1.8984375" style="3" customWidth="1"/>
    <col min="8" max="8" width="14.8984375" style="3" bestFit="1" customWidth="1"/>
    <col min="9" max="16384" width="11.59765625" style="3"/>
  </cols>
  <sheetData>
    <row r="1" spans="1:8" ht="24.75" customHeight="1" x14ac:dyDescent="0.4">
      <c r="A1" s="18" t="s">
        <v>63</v>
      </c>
      <c r="B1" s="18"/>
      <c r="C1" s="18"/>
      <c r="D1" s="18"/>
      <c r="E1" s="18"/>
      <c r="F1" s="18"/>
    </row>
    <row r="2" spans="1:8" ht="20.100000000000001" customHeight="1" x14ac:dyDescent="0.4">
      <c r="A2" s="19" t="s">
        <v>0</v>
      </c>
      <c r="B2" s="20" t="s">
        <v>49</v>
      </c>
      <c r="C2" s="20" t="s">
        <v>50</v>
      </c>
      <c r="D2" s="16" t="s">
        <v>56</v>
      </c>
      <c r="E2" s="24" t="s">
        <v>51</v>
      </c>
      <c r="F2" s="25"/>
      <c r="H2" s="8" t="s">
        <v>52</v>
      </c>
    </row>
    <row r="3" spans="1:8" ht="20.100000000000001" customHeight="1" x14ac:dyDescent="0.4">
      <c r="A3" s="19"/>
      <c r="B3" s="21"/>
      <c r="C3" s="21"/>
      <c r="D3" s="16"/>
      <c r="E3" s="8" t="s">
        <v>54</v>
      </c>
      <c r="F3" s="8" t="s">
        <v>53</v>
      </c>
      <c r="H3" s="9">
        <v>1385</v>
      </c>
    </row>
    <row r="4" spans="1:8" ht="20.100000000000001" customHeight="1" x14ac:dyDescent="0.4">
      <c r="A4" s="6" t="s">
        <v>24</v>
      </c>
      <c r="B4" s="6">
        <v>13</v>
      </c>
      <c r="C4" s="6">
        <v>5</v>
      </c>
      <c r="D4" s="4"/>
      <c r="E4" s="9">
        <v>32000</v>
      </c>
      <c r="F4" s="12">
        <f>E4/환율</f>
        <v>23.104693140794225</v>
      </c>
    </row>
    <row r="5" spans="1:8" ht="20.100000000000001" customHeight="1" x14ac:dyDescent="0.4">
      <c r="A5" s="6" t="s">
        <v>22</v>
      </c>
      <c r="B5" s="6">
        <v>6</v>
      </c>
      <c r="C5" s="6">
        <v>0</v>
      </c>
      <c r="D5" s="4"/>
      <c r="E5" s="9">
        <v>42000</v>
      </c>
      <c r="F5" s="12">
        <f>E5/환율</f>
        <v>30.32490974729242</v>
      </c>
    </row>
    <row r="6" spans="1:8" ht="20.100000000000001" customHeight="1" x14ac:dyDescent="0.4">
      <c r="A6" s="6" t="s">
        <v>6</v>
      </c>
      <c r="B6" s="6">
        <v>22</v>
      </c>
      <c r="C6" s="6">
        <v>3</v>
      </c>
      <c r="D6" s="4"/>
      <c r="E6" s="9">
        <v>28000</v>
      </c>
      <c r="F6" s="12">
        <f>E6/환율</f>
        <v>20.216606498194945</v>
      </c>
    </row>
    <row r="7" spans="1:8" ht="20.100000000000001" customHeight="1" x14ac:dyDescent="0.4">
      <c r="A7" s="6" t="s">
        <v>12</v>
      </c>
      <c r="B7" s="6">
        <v>30</v>
      </c>
      <c r="C7" s="6">
        <v>12</v>
      </c>
      <c r="D7" s="4"/>
      <c r="E7" s="9">
        <v>21000</v>
      </c>
      <c r="F7" s="12">
        <f>E7/환율</f>
        <v>15.16245487364621</v>
      </c>
    </row>
    <row r="8" spans="1:8" ht="20.100000000000001" customHeight="1" x14ac:dyDescent="0.4">
      <c r="A8" s="6" t="s">
        <v>8</v>
      </c>
      <c r="B8" s="6">
        <v>15</v>
      </c>
      <c r="C8" s="6">
        <v>1</v>
      </c>
      <c r="D8" s="4"/>
      <c r="E8" s="9">
        <v>35000</v>
      </c>
      <c r="F8" s="12">
        <f>E8/환율</f>
        <v>25.270758122743683</v>
      </c>
    </row>
    <row r="9" spans="1:8" ht="20.100000000000001" customHeight="1" x14ac:dyDescent="0.4">
      <c r="A9" s="6" t="s">
        <v>26</v>
      </c>
      <c r="B9" s="6">
        <v>9</v>
      </c>
      <c r="C9" s="6">
        <v>0</v>
      </c>
      <c r="D9" s="4"/>
      <c r="E9" s="9">
        <v>25000</v>
      </c>
      <c r="F9" s="12">
        <f>E9/환율</f>
        <v>18.050541516245488</v>
      </c>
    </row>
    <row r="10" spans="1:8" ht="20.100000000000001" customHeight="1" x14ac:dyDescent="0.4">
      <c r="A10" s="6" t="s">
        <v>30</v>
      </c>
      <c r="B10" s="6">
        <v>27</v>
      </c>
      <c r="C10" s="6">
        <v>6</v>
      </c>
      <c r="D10" s="4"/>
      <c r="E10" s="9">
        <v>29000</v>
      </c>
      <c r="F10" s="12">
        <f>E10/환율</f>
        <v>20.938628158844764</v>
      </c>
    </row>
    <row r="11" spans="1:8" ht="20.100000000000001" customHeight="1" x14ac:dyDescent="0.4">
      <c r="A11" s="6" t="s">
        <v>18</v>
      </c>
      <c r="B11" s="6">
        <v>3</v>
      </c>
      <c r="C11" s="6">
        <v>1</v>
      </c>
      <c r="D11" s="4"/>
      <c r="E11" s="9">
        <v>23000</v>
      </c>
      <c r="F11" s="12">
        <f>E11/환율</f>
        <v>16.60649819494585</v>
      </c>
    </row>
    <row r="12" spans="1:8" ht="20.100000000000001" customHeight="1" x14ac:dyDescent="0.4">
      <c r="A12" s="6" t="s">
        <v>19</v>
      </c>
      <c r="B12" s="6">
        <v>15</v>
      </c>
      <c r="C12" s="6">
        <v>2</v>
      </c>
      <c r="D12" s="4"/>
      <c r="E12" s="9">
        <v>31000</v>
      </c>
      <c r="F12" s="12">
        <f>E12/환율</f>
        <v>22.382671480144403</v>
      </c>
    </row>
    <row r="13" spans="1:8" ht="20.100000000000001" customHeight="1" x14ac:dyDescent="0.4">
      <c r="A13" s="6" t="s">
        <v>29</v>
      </c>
      <c r="B13" s="6">
        <v>6</v>
      </c>
      <c r="C13" s="6">
        <v>0</v>
      </c>
      <c r="D13" s="4"/>
      <c r="E13" s="9">
        <v>35000</v>
      </c>
      <c r="F13" s="12">
        <f>E13/환율</f>
        <v>25.270758122743683</v>
      </c>
    </row>
    <row r="14" spans="1:8" ht="20.100000000000001" customHeight="1" x14ac:dyDescent="0.4">
      <c r="A14" s="6" t="s">
        <v>34</v>
      </c>
      <c r="B14" s="6">
        <v>14</v>
      </c>
      <c r="C14" s="6">
        <v>2</v>
      </c>
      <c r="D14" s="4"/>
      <c r="E14" s="9">
        <v>19000</v>
      </c>
      <c r="F14" s="12">
        <f>E14/환율</f>
        <v>13.71841155234657</v>
      </c>
    </row>
    <row r="15" spans="1:8" ht="20.100000000000001" customHeight="1" x14ac:dyDescent="0.4">
      <c r="A15" s="6" t="s">
        <v>36</v>
      </c>
      <c r="B15" s="6">
        <v>7</v>
      </c>
      <c r="C15" s="6">
        <v>6</v>
      </c>
      <c r="D15" s="4"/>
      <c r="E15" s="9">
        <v>22000</v>
      </c>
      <c r="F15" s="12">
        <f>E15/환율</f>
        <v>15.884476534296029</v>
      </c>
    </row>
    <row r="16" spans="1:8" ht="20.100000000000001" customHeight="1" x14ac:dyDescent="0.4">
      <c r="A16" s="6" t="s">
        <v>16</v>
      </c>
      <c r="B16" s="6">
        <v>23</v>
      </c>
      <c r="C16" s="6">
        <v>2</v>
      </c>
      <c r="D16" s="4"/>
      <c r="E16" s="9">
        <v>55000</v>
      </c>
      <c r="F16" s="12">
        <f>E16/환율</f>
        <v>39.711191335740075</v>
      </c>
    </row>
    <row r="17" spans="1:6" ht="20.100000000000001" customHeight="1" x14ac:dyDescent="0.4">
      <c r="A17" s="6" t="s">
        <v>14</v>
      </c>
      <c r="B17" s="6">
        <v>16</v>
      </c>
      <c r="C17" s="6">
        <v>3</v>
      </c>
      <c r="D17" s="4"/>
      <c r="E17" s="9">
        <v>65000</v>
      </c>
      <c r="F17" s="12">
        <f>E17/환율</f>
        <v>46.931407942238266</v>
      </c>
    </row>
    <row r="18" spans="1:6" ht="20.100000000000001" customHeight="1" x14ac:dyDescent="0.4">
      <c r="A18" s="6" t="s">
        <v>10</v>
      </c>
      <c r="B18" s="6">
        <v>8</v>
      </c>
      <c r="C18" s="6">
        <v>5</v>
      </c>
      <c r="D18" s="4"/>
      <c r="E18" s="9">
        <v>78000</v>
      </c>
      <c r="F18" s="12">
        <f>E18/환율</f>
        <v>56.317689530685918</v>
      </c>
    </row>
    <row r="19" spans="1:6" ht="20.100000000000001" customHeight="1" x14ac:dyDescent="0.4">
      <c r="A19" s="6" t="s">
        <v>20</v>
      </c>
      <c r="B19" s="6">
        <v>35</v>
      </c>
      <c r="C19" s="6">
        <v>2</v>
      </c>
      <c r="D19" s="4"/>
      <c r="E19" s="9">
        <v>88000</v>
      </c>
      <c r="F19" s="12">
        <f>E19/환율</f>
        <v>63.537906137184116</v>
      </c>
    </row>
    <row r="20" spans="1:6" ht="20.100000000000001" customHeight="1" x14ac:dyDescent="0.4">
      <c r="A20" s="6" t="s">
        <v>38</v>
      </c>
      <c r="B20" s="6">
        <v>21</v>
      </c>
      <c r="C20" s="6">
        <v>0</v>
      </c>
      <c r="D20" s="4"/>
      <c r="E20" s="9">
        <v>38000</v>
      </c>
      <c r="F20" s="12">
        <f>E20/환율</f>
        <v>27.43682310469314</v>
      </c>
    </row>
    <row r="21" spans="1:6" ht="20.100000000000001" customHeight="1" x14ac:dyDescent="0.4">
      <c r="A21" s="6" t="s">
        <v>40</v>
      </c>
      <c r="B21" s="6">
        <v>15</v>
      </c>
      <c r="C21" s="6">
        <v>5</v>
      </c>
      <c r="D21" s="4"/>
      <c r="E21" s="9">
        <v>52000</v>
      </c>
      <c r="F21" s="12">
        <f>E21/환율</f>
        <v>37.545126353790614</v>
      </c>
    </row>
    <row r="22" spans="1:6" x14ac:dyDescent="0.4">
      <c r="F22" s="12">
        <f>E22/환율</f>
        <v>0</v>
      </c>
    </row>
    <row r="23" spans="1:6" x14ac:dyDescent="0.4">
      <c r="F23" s="12">
        <f>E23/환율</f>
        <v>0</v>
      </c>
    </row>
  </sheetData>
  <mergeCells count="6">
    <mergeCell ref="A1:F1"/>
    <mergeCell ref="A2:A3"/>
    <mergeCell ref="B2:B3"/>
    <mergeCell ref="C2:C3"/>
    <mergeCell ref="D2:D3"/>
    <mergeCell ref="E2:F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수식</vt:lpstr>
      <vt:lpstr>참조</vt:lpstr>
      <vt:lpstr>이름정의</vt:lpstr>
      <vt:lpstr>환율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2018-01-24T05:56:20Z</dcterms:created>
  <dcterms:modified xsi:type="dcterms:W3CDTF">2026-04-10T05:44:13Z</dcterms:modified>
</cp:coreProperties>
</file>