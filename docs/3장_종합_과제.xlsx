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BBEDAFA-1A9C-4E21-B03B-9581B160A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준비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4" l="1"/>
  <c r="C9" i="4" s="1"/>
  <c r="D7" i="4"/>
  <c r="D10" i="4" s="1"/>
  <c r="E7" i="4"/>
  <c r="E8" i="4" s="1"/>
  <c r="F7" i="4"/>
  <c r="F10" i="4" s="1"/>
  <c r="G7" i="4"/>
  <c r="G9" i="4" s="1"/>
  <c r="H7" i="4"/>
  <c r="H9" i="4" s="1"/>
  <c r="I7" i="4"/>
  <c r="I10" i="4"/>
  <c r="I8" i="4"/>
  <c r="J7" i="4"/>
  <c r="J8" i="4" s="1"/>
  <c r="G10" i="4" l="1"/>
  <c r="D8" i="4"/>
  <c r="F8" i="4"/>
  <c r="D9" i="4"/>
  <c r="C8" i="4"/>
  <c r="C10" i="4"/>
  <c r="J9" i="4"/>
  <c r="I9" i="4"/>
  <c r="I11" i="4" s="1"/>
  <c r="F9" i="4"/>
  <c r="E9" i="4"/>
  <c r="G8" i="4"/>
  <c r="J10" i="4"/>
  <c r="J11" i="4" s="1"/>
  <c r="H10" i="4"/>
  <c r="E10" i="4"/>
  <c r="H8" i="4"/>
  <c r="G11" i="4" l="1"/>
  <c r="E11" i="4"/>
  <c r="D11" i="4"/>
  <c r="F11" i="4"/>
  <c r="C11" i="4"/>
  <c r="H11" i="4"/>
</calcChain>
</file>

<file path=xl/sharedStrings.xml><?xml version="1.0" encoding="utf-8"?>
<sst xmlns="http://schemas.openxmlformats.org/spreadsheetml/2006/main" count="19" uniqueCount="16">
  <si>
    <t>인구수</t>
    <phoneticPr fontId="1" type="noConversion"/>
  </si>
  <si>
    <t>구성비</t>
    <phoneticPr fontId="1" type="noConversion"/>
  </si>
  <si>
    <t>합계</t>
    <phoneticPr fontId="1" type="noConversion"/>
  </si>
  <si>
    <t>계</t>
    <phoneticPr fontId="1" type="noConversion"/>
  </si>
  <si>
    <t>0~14세</t>
    <phoneticPr fontId="1" type="noConversion"/>
  </si>
  <si>
    <t>15~64세</t>
    <phoneticPr fontId="1" type="noConversion"/>
  </si>
  <si>
    <t>65세 이상</t>
    <phoneticPr fontId="1" type="noConversion"/>
  </si>
  <si>
    <t>1980년</t>
    <phoneticPr fontId="1" type="noConversion"/>
  </si>
  <si>
    <t>1990년</t>
    <phoneticPr fontId="1" type="noConversion"/>
  </si>
  <si>
    <t>2000년</t>
    <phoneticPr fontId="1" type="noConversion"/>
  </si>
  <si>
    <t>2010년</t>
    <phoneticPr fontId="1" type="noConversion"/>
  </si>
  <si>
    <t>2020년</t>
    <phoneticPr fontId="1" type="noConversion"/>
  </si>
  <si>
    <t>2030년</t>
    <phoneticPr fontId="1" type="noConversion"/>
  </si>
  <si>
    <t>2040년</t>
    <phoneticPr fontId="1" type="noConversion"/>
  </si>
  <si>
    <t>2050년</t>
    <phoneticPr fontId="1" type="noConversion"/>
  </si>
  <si>
    <t>인구수와 구성비(단위 : 천명, 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</si>
</sst>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3" fillId="2" borderId="2" xfId="2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2" fontId="0" fillId="0" borderId="2" xfId="0" applyNumberForma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2" fillId="3" borderId="2" xfId="3" applyBorder="1">
      <alignment vertical="center"/>
    </xf>
    <xf numFmtId="41" fontId="2" fillId="3" borderId="2" xfId="3" applyNumberFormat="1" applyBorder="1">
      <alignment vertical="center"/>
    </xf>
    <xf numFmtId="0" fontId="4" fillId="3" borderId="2" xfId="3" applyFont="1" applyBorder="1">
      <alignment vertical="center"/>
    </xf>
  </cellXfs>
  <cellStyles count="4">
    <cellStyle name="20% - 강조색1" xfId="3" builtinId="30"/>
    <cellStyle name="쉼표 [0]" xfId="1" builtinId="6"/>
    <cellStyle name="출력" xfId="2" builtinId="2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I13" sqref="I13"/>
    </sheetView>
  </sheetViews>
  <sheetFormatPr defaultColWidth="9" defaultRowHeight="17.399999999999999" x14ac:dyDescent="0.4"/>
  <sheetData>
    <row r="1" spans="1:10" x14ac:dyDescent="0.4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4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4">
      <c r="A3" s="2"/>
      <c r="B3" s="2"/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</row>
    <row r="4" spans="1:10" x14ac:dyDescent="0.4">
      <c r="A4" s="3" t="s">
        <v>0</v>
      </c>
      <c r="B4" s="7" t="s">
        <v>4</v>
      </c>
      <c r="C4" s="4">
        <v>12951</v>
      </c>
      <c r="D4" s="4">
        <v>10974</v>
      </c>
      <c r="E4" s="4">
        <v>9911</v>
      </c>
      <c r="F4" s="4">
        <v>7979</v>
      </c>
      <c r="G4" s="4">
        <v>6574</v>
      </c>
      <c r="H4" s="4">
        <v>6109</v>
      </c>
      <c r="I4" s="4">
        <v>5647</v>
      </c>
      <c r="J4" s="4">
        <v>4716</v>
      </c>
    </row>
    <row r="5" spans="1:10" x14ac:dyDescent="0.4">
      <c r="A5" s="3"/>
      <c r="B5" s="7" t="s">
        <v>5</v>
      </c>
      <c r="C5" s="4">
        <v>23717</v>
      </c>
      <c r="D5" s="4">
        <v>29701</v>
      </c>
      <c r="E5" s="4">
        <v>33702</v>
      </c>
      <c r="F5" s="4">
        <v>36209</v>
      </c>
      <c r="G5" s="4">
        <v>37266</v>
      </c>
      <c r="H5" s="4">
        <v>33878</v>
      </c>
      <c r="I5" s="4">
        <v>29431</v>
      </c>
      <c r="J5" s="4">
        <v>25905</v>
      </c>
    </row>
    <row r="6" spans="1:10" x14ac:dyDescent="0.4">
      <c r="A6" s="3"/>
      <c r="B6" s="7" t="s">
        <v>6</v>
      </c>
      <c r="C6" s="4">
        <v>1456</v>
      </c>
      <c r="D6" s="4">
        <v>2195</v>
      </c>
      <c r="E6" s="4">
        <v>3395</v>
      </c>
      <c r="F6" s="4">
        <v>5366</v>
      </c>
      <c r="G6" s="4">
        <v>8134</v>
      </c>
      <c r="H6" s="4">
        <v>12955</v>
      </c>
      <c r="I6" s="4">
        <v>17120</v>
      </c>
      <c r="J6" s="4">
        <v>18813</v>
      </c>
    </row>
    <row r="7" spans="1:10" x14ac:dyDescent="0.4">
      <c r="A7" s="3"/>
      <c r="B7" s="10" t="s">
        <v>2</v>
      </c>
      <c r="C7" s="9">
        <f t="shared" ref="C7" si="0">SUM(C4:C6)</f>
        <v>38124</v>
      </c>
      <c r="D7" s="9">
        <f t="shared" ref="D7" si="1">SUM(D4:D6)</f>
        <v>42870</v>
      </c>
      <c r="E7" s="9">
        <f t="shared" ref="E7" si="2">SUM(E4:E6)</f>
        <v>47008</v>
      </c>
      <c r="F7" s="9">
        <f t="shared" ref="F7" si="3">SUM(F4:F6)</f>
        <v>49554</v>
      </c>
      <c r="G7" s="9">
        <f t="shared" ref="G7" si="4">SUM(G4:G6)</f>
        <v>51974</v>
      </c>
      <c r="H7" s="9">
        <f t="shared" ref="H7" si="5">SUM(H4:H6)</f>
        <v>52942</v>
      </c>
      <c r="I7" s="9">
        <f t="shared" ref="I7" si="6">SUM(I4:I6)</f>
        <v>52198</v>
      </c>
      <c r="J7" s="9">
        <f t="shared" ref="J7" si="7">SUM(J4:J6)</f>
        <v>49434</v>
      </c>
    </row>
    <row r="8" spans="1:10" x14ac:dyDescent="0.4">
      <c r="A8" s="3" t="s">
        <v>1</v>
      </c>
      <c r="B8" s="7" t="s">
        <v>4</v>
      </c>
      <c r="C8" s="5">
        <f>C4/C$7*100</f>
        <v>33.970727101038719</v>
      </c>
      <c r="D8" s="5">
        <f>D4/D$7*100</f>
        <v>25.598320503848843</v>
      </c>
      <c r="E8" s="5">
        <f>E4/E$7*100</f>
        <v>21.083645336963922</v>
      </c>
      <c r="F8" s="5">
        <f>F4/F$7*100</f>
        <v>16.101626508455421</v>
      </c>
      <c r="G8" s="5">
        <f>G4/G$7*100</f>
        <v>12.648632008311846</v>
      </c>
      <c r="H8" s="5">
        <f>H4/H$7*100</f>
        <v>11.539042726002039</v>
      </c>
      <c r="I8" s="5">
        <f>I4/I$7*100</f>
        <v>10.81842216176865</v>
      </c>
      <c r="J8" s="5">
        <f>J4/J$7*100</f>
        <v>9.5399927175628108</v>
      </c>
    </row>
    <row r="9" spans="1:10" x14ac:dyDescent="0.4">
      <c r="A9" s="3"/>
      <c r="B9" s="7" t="s">
        <v>5</v>
      </c>
      <c r="C9" s="5">
        <f t="shared" ref="C9:J9" si="8">C5/C$7*100</f>
        <v>62.210156331969365</v>
      </c>
      <c r="D9" s="5">
        <f t="shared" si="8"/>
        <v>69.281548868672729</v>
      </c>
      <c r="E9" s="5">
        <f t="shared" si="8"/>
        <v>71.69417971409122</v>
      </c>
      <c r="F9" s="5">
        <f t="shared" si="8"/>
        <v>73.069782459539084</v>
      </c>
      <c r="G9" s="5">
        <f t="shared" si="8"/>
        <v>71.701235233001114</v>
      </c>
      <c r="H9" s="5">
        <f t="shared" si="8"/>
        <v>63.990782365607643</v>
      </c>
      <c r="I9" s="5">
        <f t="shared" si="8"/>
        <v>56.383386336641252</v>
      </c>
      <c r="J9" s="5">
        <f t="shared" si="8"/>
        <v>52.403204272363148</v>
      </c>
    </row>
    <row r="10" spans="1:10" x14ac:dyDescent="0.4">
      <c r="A10" s="3"/>
      <c r="B10" s="7" t="s">
        <v>6</v>
      </c>
      <c r="C10" s="5">
        <f t="shared" ref="C10:J10" si="9">C6/C$7*100</f>
        <v>3.8191165669919211</v>
      </c>
      <c r="D10" s="5">
        <f t="shared" si="9"/>
        <v>5.1201306274784235</v>
      </c>
      <c r="E10" s="5">
        <f t="shared" si="9"/>
        <v>7.2221749489448612</v>
      </c>
      <c r="F10" s="5">
        <f t="shared" si="9"/>
        <v>10.828591032005489</v>
      </c>
      <c r="G10" s="5">
        <f t="shared" si="9"/>
        <v>15.650132758687036</v>
      </c>
      <c r="H10" s="5">
        <f t="shared" si="9"/>
        <v>24.470174908390312</v>
      </c>
      <c r="I10" s="5">
        <f t="shared" si="9"/>
        <v>32.798191501590104</v>
      </c>
      <c r="J10" s="5">
        <f t="shared" si="9"/>
        <v>38.056803010074034</v>
      </c>
    </row>
    <row r="11" spans="1:10" x14ac:dyDescent="0.4">
      <c r="A11" s="3"/>
      <c r="B11" s="10" t="s">
        <v>3</v>
      </c>
      <c r="C11" s="8">
        <f t="shared" ref="C11:J11" si="10">SUM(C8:C10)</f>
        <v>100.00000000000001</v>
      </c>
      <c r="D11" s="8">
        <f t="shared" si="10"/>
        <v>99.999999999999986</v>
      </c>
      <c r="E11" s="8">
        <f t="shared" si="10"/>
        <v>100</v>
      </c>
      <c r="F11" s="8">
        <f t="shared" si="10"/>
        <v>100</v>
      </c>
      <c r="G11" s="8">
        <f t="shared" si="10"/>
        <v>100</v>
      </c>
      <c r="H11" s="8">
        <f t="shared" si="10"/>
        <v>100</v>
      </c>
      <c r="I11" s="8">
        <f t="shared" si="10"/>
        <v>100</v>
      </c>
      <c r="J11" s="8">
        <f t="shared" si="10"/>
        <v>100</v>
      </c>
    </row>
  </sheetData>
  <mergeCells count="4">
    <mergeCell ref="A3:B3"/>
    <mergeCell ref="A4:A7"/>
    <mergeCell ref="A8:A11"/>
    <mergeCell ref="A1:J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준비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2018-01-30T06:29:03Z</dcterms:created>
  <dcterms:modified xsi:type="dcterms:W3CDTF">2026-04-11T16:39:48Z</dcterms:modified>
</cp:coreProperties>
</file>